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ONAL\Desktop\Arquitectura\"/>
    </mc:Choice>
  </mc:AlternateContent>
  <xr:revisionPtr revIDLastSave="0" documentId="13_ncr:1_{315A638F-F5FB-47FB-AF97-4B0C26F22E54}" xr6:coauthVersionLast="45" xr6:coauthVersionMax="45" xr10:uidLastSave="{00000000-0000-0000-0000-000000000000}"/>
  <bookViews>
    <workbookView xWindow="-108" yWindow="-108" windowWidth="23256" windowHeight="12576" xr2:uid="{A9AF7065-FB41-4253-B4F5-053F68A6751F}"/>
  </bookViews>
  <sheets>
    <sheet name="Plantilla" sheetId="1" r:id="rId1"/>
    <sheet name="BD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2" l="1"/>
  <c r="L3" i="2"/>
  <c r="G11" i="1"/>
  <c r="H11" i="1" s="1"/>
  <c r="M3" i="1"/>
  <c r="L4" i="2"/>
  <c r="L5" i="2"/>
  <c r="L6" i="2"/>
  <c r="L7" i="2"/>
  <c r="L8" i="2"/>
  <c r="I22" i="1"/>
  <c r="I21" i="1"/>
  <c r="I20" i="1"/>
  <c r="I19" i="1"/>
  <c r="I18" i="1"/>
  <c r="H7" i="1"/>
  <c r="G14" i="1"/>
  <c r="H14" i="1"/>
  <c r="G13" i="1"/>
  <c r="H13" i="1" s="1"/>
  <c r="G12" i="1"/>
  <c r="H12" i="1" s="1"/>
</calcChain>
</file>

<file path=xl/sharedStrings.xml><?xml version="1.0" encoding="utf-8"?>
<sst xmlns="http://schemas.openxmlformats.org/spreadsheetml/2006/main" count="101" uniqueCount="53">
  <si>
    <t>Codigo Tecnico</t>
  </si>
  <si>
    <t>Codigo Proyecto</t>
  </si>
  <si>
    <t>Codigo Actualización</t>
  </si>
  <si>
    <t>Actualización</t>
  </si>
  <si>
    <t>Nombre Tecnico</t>
  </si>
  <si>
    <t>Simon Vallejo</t>
  </si>
  <si>
    <t>Juan Velez</t>
  </si>
  <si>
    <t>Pedro Guitierrez</t>
  </si>
  <si>
    <t>Alberto Jaramillo</t>
  </si>
  <si>
    <t>Validación</t>
  </si>
  <si>
    <t>Mensaje WhatsApp</t>
  </si>
  <si>
    <t>Descripción</t>
  </si>
  <si>
    <t>24</t>
  </si>
  <si>
    <t>1</t>
  </si>
  <si>
    <t>2</t>
  </si>
  <si>
    <t>3</t>
  </si>
  <si>
    <t>AI1134</t>
  </si>
  <si>
    <t>AI612</t>
  </si>
  <si>
    <t>AI123</t>
  </si>
  <si>
    <t>HM Bogota</t>
  </si>
  <si>
    <t>HM Medellin</t>
  </si>
  <si>
    <t>HM Llanograndes</t>
  </si>
  <si>
    <t>Codigo Funcion</t>
  </si>
  <si>
    <t>Novedad</t>
  </si>
  <si>
    <t>Actualizacion</t>
  </si>
  <si>
    <t>Urgencia</t>
  </si>
  <si>
    <t>Descripcion</t>
  </si>
  <si>
    <t>Arquitectura Integral</t>
  </si>
  <si>
    <t>N° Actualización</t>
  </si>
  <si>
    <t>Fecha</t>
  </si>
  <si>
    <t>AI000001</t>
  </si>
  <si>
    <t>Atributo 01</t>
  </si>
  <si>
    <t>Atributo 02</t>
  </si>
  <si>
    <t>Atributo 03</t>
  </si>
  <si>
    <t>Atributo 04</t>
  </si>
  <si>
    <t>Atributo 05</t>
  </si>
  <si>
    <t>Diseñado By @VaVel |  2021</t>
  </si>
  <si>
    <t xml:space="preserve">     Seguimiento y Actualización</t>
  </si>
  <si>
    <t>AI00000</t>
  </si>
  <si>
    <t>Prueba</t>
  </si>
  <si>
    <t xml:space="preserve"> </t>
  </si>
  <si>
    <t>Se llega al proyecto a trabajar</t>
  </si>
  <si>
    <t>Prueba 1</t>
  </si>
  <si>
    <t>Prueba 2</t>
  </si>
  <si>
    <t>Prueba 3</t>
  </si>
  <si>
    <t>Prueba 4</t>
  </si>
  <si>
    <t>Prueba 5</t>
  </si>
  <si>
    <t>Prueba Funcional Macro</t>
  </si>
  <si>
    <t>Consecutivo</t>
  </si>
  <si>
    <t>Secuencia Siguiente</t>
  </si>
  <si>
    <t>AI000002</t>
  </si>
  <si>
    <t>AI000003</t>
  </si>
  <si>
    <t>AI000004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</si>
</sst>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sz val="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left" vertical="center" wrapText="1"/>
    </xf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left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horizontal="left" vertical="center" wrapText="1"/>
    </xf>
    <xf numFmtId="0" fontId="0" fillId="0" borderId="8" xfId="0" applyBorder="1"/>
    <xf numFmtId="0" fontId="1" fillId="2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9" xfId="0" applyBorder="1" applyAlignment="1">
      <alignment horizontal="right" vertical="center" wrapText="1"/>
    </xf>
    <xf numFmtId="14" fontId="0" fillId="0" borderId="9" xfId="0" applyNumberFormat="1" applyBorder="1" applyAlignment="1">
      <alignment horizontal="right" vertical="center" wrapText="1"/>
    </xf>
    <xf numFmtId="0" fontId="5" fillId="0" borderId="0" xfId="0" applyFont="1" applyBorder="1" applyAlignment="1">
      <alignment horizontal="left"/>
    </xf>
    <xf numFmtId="0" fontId="1" fillId="0" borderId="0" xfId="0" applyFont="1" applyBorder="1" applyAlignment="1">
      <alignment horizontal="right" vertical="center" wrapText="1"/>
    </xf>
    <xf numFmtId="0" fontId="1" fillId="2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0" borderId="5" xfId="0" applyFont="1" applyBorder="1"/>
    <xf numFmtId="0" fontId="6" fillId="0" borderId="0" xfId="0" applyFont="1" applyBorder="1"/>
    <xf numFmtId="14" fontId="1" fillId="2" borderId="1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5">
    <dxf>
      <numFmt numFmtId="0" formatCode="General"/>
    </dxf>
    <dxf>
      <numFmt numFmtId="19" formatCode="d/mm/yyyy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22860</xdr:colOff>
      <xdr:row>2</xdr:row>
      <xdr:rowOff>30896</xdr:rowOff>
    </xdr:from>
    <xdr:to>
      <xdr:col>3</xdr:col>
      <xdr:colOff>990600</xdr:colOff>
      <xdr:row>7</xdr:row>
      <xdr:rowOff>116205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E40EA0-5D9A-4298-9BB0-4DEC64CE5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96656"/>
          <a:ext cx="967740" cy="1007329"/>
        </a:xfrm>
        <a:prstGeom prst="rect">
          <a:avLst/>
        </a:prstGeom>
      </xdr:spPr>
    </xdr:pic>
    <xdr:clientData/>
  </xdr:twoCellAnchor>
  <xdr:twoCellAnchor editAs="oneCell">
    <xdr:from>
      <xdr:col>4</xdr:col>
      <xdr:colOff>114300</xdr:colOff>
      <xdr:row>5</xdr:row>
      <xdr:rowOff>83820</xdr:rowOff>
    </xdr:from>
    <xdr:to>
      <xdr:col>4</xdr:col>
      <xdr:colOff>342900</xdr:colOff>
      <xdr:row>6</xdr:row>
      <xdr:rowOff>129540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4E46DA5-6BAF-4524-BE05-036D7F167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7520" y="800100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678180</xdr:colOff>
          <xdr:row>24</xdr:row>
          <xdr:rowOff>83820</xdr:rowOff>
        </xdr:from>
        <xdr:to>
          <xdr:col>7</xdr:col>
          <xdr:colOff>990600</xdr:colOff>
          <xdr:row>25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006AE7-A72A-41BE-8652-6BBE29BE7888}" name="Tabla1" displayName="Tabla1" ref="A1:L8" totalsRowShown="0" headerRowDxfId="4" headerRowBorderDxfId="2" tableBorderDxfId="3">
  <autoFilter ref="A1:L8" xr:uid="{F4B38814-F7C6-48F3-9D3F-DB5C62A91EA4}"/>
  <tableColumns count="12">
    <tableColumn id="1" xr3:uid="{CE715C60-9E39-4966-9593-766FBCF949F1}" name="N° Actualización"/>
    <tableColumn id="2" xr3:uid="{DFC24905-5B5C-4CDF-88D6-6B71CCEE3F79}" name="Fecha" dataDxfId="1"/>
    <tableColumn id="5" xr3:uid="{8A64D97B-5AD2-448B-85AA-E69DD7E12EBE}" name="Codigo Tecnico"/>
    <tableColumn id="6" xr3:uid="{D4E66D98-B0FA-447C-8E87-E1313C19109C}" name="Codigo Proyecto"/>
    <tableColumn id="7" xr3:uid="{698FD1C4-86E5-4A4C-A50F-A16274E5A291}" name="Codigo Actualización"/>
    <tableColumn id="8" xr3:uid="{05B57BFE-EC82-4EE3-AA00-C7867E623618}" name="Actualización"/>
    <tableColumn id="9" xr3:uid="{CBD50619-BE36-402B-B5EF-F2514B4F1828}" name="Atributo 01"/>
    <tableColumn id="10" xr3:uid="{6A1EEBD9-5F44-4C70-AD54-CE5E50534C08}" name="Atributo 02"/>
    <tableColumn id="11" xr3:uid="{C15E0044-161B-4F20-B633-2F514E5DE5FB}" name="Atributo 03"/>
    <tableColumn id="12" xr3:uid="{E0063AD1-4E7E-4273-9BFA-F732DF158D0E}" name="Atributo 04"/>
    <tableColumn id="13" xr3:uid="{C69BE27A-CEBB-49D2-AF77-5211B8F47DBF}" name="Atributo 05"/>
    <tableColumn id="14" xr3:uid="{FE6077FD-793A-4A1D-80EA-E3F5307B4D34}" name="Consecutivo" dataDxfId="0">
      <calculatedColumnFormula>VALUE(MID(Tabla1[[#This Row],[N° Actualización]],3,LEN(Tabla1[[#This Row],[N° Actualización]])-2))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2337-F468-458C-A1BF-EE25209AC47A}">
  <sheetPr codeName="Hoja1"/>
  <dimension ref="C1:V27"/>
  <sheetViews>
    <sheetView showGridLines="0" tabSelected="1" workbookViewId="0">
      <selection activeCell="X13" sqref="X13"/>
    </sheetView>
  </sheetViews>
  <sheetFormatPr baseColWidth="10" defaultRowHeight="14.4" x14ac:dyDescent="0.3"/>
  <cols>
    <col min="1" max="1" width="1.77734375" customWidth="1"/>
    <col min="3" max="3" width="1.21875" customWidth="1"/>
    <col min="4" max="4" width="18" bestFit="1" customWidth="1"/>
    <col min="5" max="5" width="18.6640625" style="1" customWidth="1"/>
    <col min="6" max="6" width="3.21875" customWidth="1"/>
    <col min="7" max="7" width="14.21875" bestFit="1" customWidth="1"/>
    <col min="8" max="8" width="15.109375" style="1" customWidth="1"/>
    <col min="9" max="10" width="1" customWidth="1"/>
    <col min="12" max="14" width="1.109375" customWidth="1"/>
    <col min="15" max="15" width="1.109375" style="2" customWidth="1"/>
    <col min="16" max="23" width="1.109375" customWidth="1"/>
  </cols>
  <sheetData>
    <row r="1" spans="3:22" ht="6" customHeight="1" thickBot="1" x14ac:dyDescent="0.35">
      <c r="O1" s="2" t="s">
        <v>0</v>
      </c>
      <c r="P1" t="s">
        <v>4</v>
      </c>
      <c r="R1" t="s">
        <v>1</v>
      </c>
      <c r="S1" t="s">
        <v>11</v>
      </c>
      <c r="U1" t="s">
        <v>22</v>
      </c>
      <c r="V1" t="s">
        <v>26</v>
      </c>
    </row>
    <row r="2" spans="3:22" ht="7.2" customHeight="1" thickBot="1" x14ac:dyDescent="0.35">
      <c r="C2" s="3"/>
      <c r="D2" s="4"/>
      <c r="E2" s="5"/>
      <c r="F2" s="4"/>
      <c r="G2" s="4"/>
      <c r="H2" s="5"/>
      <c r="I2" s="4"/>
      <c r="J2" s="6"/>
      <c r="O2" s="2" t="s">
        <v>13</v>
      </c>
      <c r="P2" t="s">
        <v>5</v>
      </c>
      <c r="R2" t="s">
        <v>16</v>
      </c>
      <c r="S2" t="s">
        <v>19</v>
      </c>
      <c r="U2" s="2" t="s">
        <v>13</v>
      </c>
      <c r="V2" t="s">
        <v>23</v>
      </c>
    </row>
    <row r="3" spans="3:22" ht="15" thickBot="1" x14ac:dyDescent="0.35">
      <c r="C3" s="7"/>
      <c r="D3" s="8"/>
      <c r="E3" s="19" t="s">
        <v>27</v>
      </c>
      <c r="F3" s="19"/>
      <c r="G3" s="19"/>
      <c r="H3" s="19"/>
      <c r="I3" s="8"/>
      <c r="J3" s="9"/>
      <c r="L3" s="32" t="s">
        <v>49</v>
      </c>
      <c r="M3" s="33" t="e">
        <f>_xlfn.CONCAT("AI",TEXT(VLOOKUP(H6,BD!A:L,12,0)+1,"000000"))</f>
        <v>#N/A</v>
      </c>
      <c r="O3" s="2" t="s">
        <v>14</v>
      </c>
      <c r="P3" t="s">
        <v>6</v>
      </c>
      <c r="R3" t="s">
        <v>17</v>
      </c>
      <c r="S3" t="s">
        <v>20</v>
      </c>
      <c r="U3" s="2" t="s">
        <v>14</v>
      </c>
      <c r="V3" t="s">
        <v>24</v>
      </c>
    </row>
    <row r="4" spans="3:22" x14ac:dyDescent="0.3">
      <c r="C4" s="7"/>
      <c r="D4" s="8"/>
      <c r="E4" s="19"/>
      <c r="F4" s="19"/>
      <c r="G4" s="19"/>
      <c r="H4" s="19"/>
      <c r="I4" s="8"/>
      <c r="J4" s="9"/>
      <c r="O4" s="2" t="s">
        <v>15</v>
      </c>
      <c r="P4" t="s">
        <v>7</v>
      </c>
      <c r="R4" t="s">
        <v>18</v>
      </c>
      <c r="S4" t="s">
        <v>21</v>
      </c>
      <c r="U4" s="2" t="s">
        <v>15</v>
      </c>
      <c r="V4" t="s">
        <v>25</v>
      </c>
    </row>
    <row r="5" spans="3:22" x14ac:dyDescent="0.3">
      <c r="C5" s="7"/>
      <c r="D5" s="8"/>
      <c r="E5" s="10"/>
      <c r="F5" s="8"/>
      <c r="G5" s="8"/>
      <c r="H5" s="10"/>
      <c r="I5" s="8"/>
      <c r="J5" s="9"/>
      <c r="O5" s="2" t="s">
        <v>12</v>
      </c>
      <c r="P5" t="s">
        <v>8</v>
      </c>
    </row>
    <row r="6" spans="3:22" x14ac:dyDescent="0.3">
      <c r="C6" s="7"/>
      <c r="D6" s="8"/>
      <c r="E6" s="23" t="s">
        <v>37</v>
      </c>
      <c r="F6" s="8"/>
      <c r="G6" s="16" t="s">
        <v>28</v>
      </c>
      <c r="H6" s="20" t="s">
        <v>52</v>
      </c>
      <c r="I6" s="8"/>
      <c r="J6" s="9"/>
    </row>
    <row r="7" spans="3:22" x14ac:dyDescent="0.3">
      <c r="C7" s="7"/>
      <c r="D7" s="8"/>
      <c r="E7" s="23"/>
      <c r="F7" s="8"/>
      <c r="G7" s="16" t="s">
        <v>29</v>
      </c>
      <c r="H7" s="21">
        <f ca="1">TODAY()</f>
        <v>44326</v>
      </c>
      <c r="I7" s="8"/>
      <c r="J7" s="9"/>
    </row>
    <row r="8" spans="3:22" x14ac:dyDescent="0.3">
      <c r="C8" s="7"/>
      <c r="D8" s="8"/>
      <c r="E8" s="10"/>
      <c r="F8" s="8"/>
      <c r="G8" s="8"/>
      <c r="H8" s="10"/>
      <c r="I8" s="8"/>
      <c r="J8" s="9"/>
    </row>
    <row r="9" spans="3:22" x14ac:dyDescent="0.3">
      <c r="C9" s="7"/>
      <c r="D9" s="11"/>
      <c r="E9" s="10"/>
      <c r="F9" s="8"/>
      <c r="G9" s="8"/>
      <c r="H9" s="10"/>
      <c r="I9" s="8"/>
      <c r="J9" s="9"/>
    </row>
    <row r="10" spans="3:22" x14ac:dyDescent="0.3">
      <c r="C10" s="7"/>
      <c r="D10" s="11"/>
      <c r="E10" s="18" t="s">
        <v>10</v>
      </c>
      <c r="F10" s="8"/>
      <c r="G10" s="18" t="s">
        <v>9</v>
      </c>
      <c r="H10" s="18" t="s">
        <v>11</v>
      </c>
      <c r="I10" s="8"/>
      <c r="J10" s="9"/>
    </row>
    <row r="11" spans="3:22" x14ac:dyDescent="0.3">
      <c r="C11" s="7"/>
      <c r="D11" s="16" t="s">
        <v>0</v>
      </c>
      <c r="E11" s="17"/>
      <c r="F11" s="8"/>
      <c r="G11" s="17" t="e">
        <f>TRIM(MID(E11,FIND(".",E11,1)+1,LEN(E11)-FIND(".",E11,1)))</f>
        <v>#VALUE!</v>
      </c>
      <c r="H11" s="17" t="e">
        <f>VLOOKUP(G11,O:P,2,0)</f>
        <v>#VALUE!</v>
      </c>
      <c r="I11" s="8"/>
      <c r="J11" s="9"/>
    </row>
    <row r="12" spans="3:22" x14ac:dyDescent="0.3">
      <c r="C12" s="7"/>
      <c r="D12" s="16" t="s">
        <v>1</v>
      </c>
      <c r="E12" s="17"/>
      <c r="F12" s="8"/>
      <c r="G12" s="17" t="e">
        <f>TRIM(MID(E12,FIND(".",E12,1)+1,LEN(E12)-FIND(".",E12,1)))</f>
        <v>#VALUE!</v>
      </c>
      <c r="H12" s="17" t="e">
        <f>VLOOKUP(G12,R:S,2,0)</f>
        <v>#VALUE!</v>
      </c>
      <c r="I12" s="8"/>
      <c r="J12" s="9"/>
    </row>
    <row r="13" spans="3:22" x14ac:dyDescent="0.3">
      <c r="C13" s="7"/>
      <c r="D13" s="16" t="s">
        <v>2</v>
      </c>
      <c r="E13" s="17"/>
      <c r="F13" s="8"/>
      <c r="G13" s="17" t="e">
        <f>TRIM(MID(E13,FIND(".",E13,1)+1,LEN(E13)-FIND(".",E13,1)))</f>
        <v>#VALUE!</v>
      </c>
      <c r="H13" s="17" t="e">
        <f>VLOOKUP(G13,U:V,2,0)</f>
        <v>#VALUE!</v>
      </c>
      <c r="I13" s="8"/>
      <c r="J13" s="9"/>
    </row>
    <row r="14" spans="3:22" ht="28.8" customHeight="1" x14ac:dyDescent="0.3">
      <c r="C14" s="7"/>
      <c r="D14" s="16" t="s">
        <v>3</v>
      </c>
      <c r="E14" s="17"/>
      <c r="F14" s="8"/>
      <c r="G14" s="17" t="str">
        <f>IF(E14&lt;&gt;"","OK","N/A")</f>
        <v>N/A</v>
      </c>
      <c r="H14" s="17" t="e">
        <f>TRIM(MID(E14,FIND(".",E14,1)+1,LEN(E14)-FIND(".",E14,1)))</f>
        <v>#VALUE!</v>
      </c>
      <c r="I14" s="8"/>
      <c r="J14" s="9"/>
    </row>
    <row r="15" spans="3:22" ht="6" customHeight="1" x14ac:dyDescent="0.3">
      <c r="C15" s="7"/>
      <c r="D15" s="11"/>
      <c r="E15" s="10"/>
      <c r="F15" s="8"/>
      <c r="G15" s="8"/>
      <c r="H15" s="10"/>
      <c r="I15" s="8"/>
      <c r="J15" s="9"/>
    </row>
    <row r="16" spans="3:22" ht="6" customHeight="1" x14ac:dyDescent="0.3">
      <c r="C16" s="7"/>
      <c r="D16" s="8"/>
      <c r="E16" s="10"/>
      <c r="F16" s="8"/>
      <c r="G16" s="8"/>
      <c r="H16" s="10"/>
      <c r="I16" s="8"/>
      <c r="J16" s="9"/>
    </row>
    <row r="17" spans="3:10" ht="6" customHeight="1" x14ac:dyDescent="0.3">
      <c r="C17" s="7"/>
      <c r="D17" s="8"/>
      <c r="E17" s="10"/>
      <c r="F17" s="8"/>
      <c r="G17" s="8"/>
      <c r="H17" s="10"/>
      <c r="I17" s="8"/>
      <c r="J17" s="9"/>
    </row>
    <row r="18" spans="3:10" x14ac:dyDescent="0.3">
      <c r="C18" s="7"/>
      <c r="D18" s="16" t="s">
        <v>31</v>
      </c>
      <c r="E18" s="25"/>
      <c r="F18" s="26"/>
      <c r="G18" s="26"/>
      <c r="H18" s="27"/>
      <c r="I18" s="29">
        <f>E18</f>
        <v>0</v>
      </c>
      <c r="J18" s="28"/>
    </row>
    <row r="19" spans="3:10" x14ac:dyDescent="0.3">
      <c r="C19" s="7"/>
      <c r="D19" s="16" t="s">
        <v>32</v>
      </c>
      <c r="E19" s="25"/>
      <c r="F19" s="26"/>
      <c r="G19" s="26"/>
      <c r="H19" s="27"/>
      <c r="I19" s="29">
        <f t="shared" ref="I19:I22" si="0">E19</f>
        <v>0</v>
      </c>
      <c r="J19" s="28"/>
    </row>
    <row r="20" spans="3:10" x14ac:dyDescent="0.3">
      <c r="C20" s="7"/>
      <c r="D20" s="16" t="s">
        <v>33</v>
      </c>
      <c r="E20" s="25"/>
      <c r="F20" s="26"/>
      <c r="G20" s="26"/>
      <c r="H20" s="27"/>
      <c r="I20" s="29">
        <f t="shared" si="0"/>
        <v>0</v>
      </c>
      <c r="J20" s="28"/>
    </row>
    <row r="21" spans="3:10" x14ac:dyDescent="0.3">
      <c r="C21" s="7"/>
      <c r="D21" s="16" t="s">
        <v>34</v>
      </c>
      <c r="E21" s="25"/>
      <c r="F21" s="26"/>
      <c r="G21" s="26"/>
      <c r="H21" s="27"/>
      <c r="I21" s="29">
        <f t="shared" si="0"/>
        <v>0</v>
      </c>
      <c r="J21" s="28"/>
    </row>
    <row r="22" spans="3:10" x14ac:dyDescent="0.3">
      <c r="C22" s="7"/>
      <c r="D22" s="16" t="s">
        <v>35</v>
      </c>
      <c r="E22" s="25"/>
      <c r="F22" s="26"/>
      <c r="G22" s="26"/>
      <c r="H22" s="27"/>
      <c r="I22" s="29">
        <f t="shared" si="0"/>
        <v>0</v>
      </c>
      <c r="J22" s="28"/>
    </row>
    <row r="23" spans="3:10" x14ac:dyDescent="0.3">
      <c r="C23" s="7"/>
      <c r="D23" s="8"/>
      <c r="E23" s="10"/>
      <c r="F23" s="8"/>
      <c r="G23" s="8"/>
      <c r="H23" s="10"/>
      <c r="I23" s="8"/>
      <c r="J23" s="9"/>
    </row>
    <row r="24" spans="3:10" x14ac:dyDescent="0.3">
      <c r="C24" s="7"/>
      <c r="D24" s="8"/>
      <c r="E24" s="10"/>
      <c r="F24" s="8"/>
      <c r="G24" s="8"/>
      <c r="H24" s="10"/>
      <c r="I24" s="8"/>
      <c r="J24" s="9"/>
    </row>
    <row r="25" spans="3:10" x14ac:dyDescent="0.3">
      <c r="C25" s="7"/>
      <c r="D25" s="8"/>
      <c r="E25" s="10"/>
      <c r="F25" s="8"/>
      <c r="G25" s="8"/>
      <c r="H25" s="10"/>
      <c r="I25" s="8"/>
      <c r="J25" s="9"/>
    </row>
    <row r="26" spans="3:10" x14ac:dyDescent="0.3">
      <c r="C26" s="7"/>
      <c r="D26" s="22" t="s">
        <v>36</v>
      </c>
      <c r="E26" s="22"/>
      <c r="F26" s="22"/>
      <c r="G26" s="22"/>
      <c r="H26" s="22"/>
      <c r="I26" s="8"/>
      <c r="J26" s="9"/>
    </row>
    <row r="27" spans="3:10" ht="7.2" customHeight="1" thickBot="1" x14ac:dyDescent="0.35">
      <c r="C27" s="12"/>
      <c r="D27" s="13"/>
      <c r="E27" s="14"/>
      <c r="F27" s="13"/>
      <c r="G27" s="13"/>
      <c r="H27" s="14"/>
      <c r="I27" s="13"/>
      <c r="J27" s="15"/>
    </row>
  </sheetData>
  <mergeCells count="8">
    <mergeCell ref="D26:H26"/>
    <mergeCell ref="E6:E7"/>
    <mergeCell ref="E3:H4"/>
    <mergeCell ref="E18:H18"/>
    <mergeCell ref="E19:H19"/>
    <mergeCell ref="E20:H20"/>
    <mergeCell ref="E21:H21"/>
    <mergeCell ref="E22:H2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cionWpp">
                <anchor moveWithCells="1" sizeWithCells="1">
                  <from>
                    <xdr:col>6</xdr:col>
                    <xdr:colOff>678180</xdr:colOff>
                    <xdr:row>24</xdr:row>
                    <xdr:rowOff>83820</xdr:rowOff>
                  </from>
                  <to>
                    <xdr:col>7</xdr:col>
                    <xdr:colOff>990600</xdr:colOff>
                    <xdr:row>25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5D073-EB70-4036-8606-94156A02A2C4}">
  <sheetPr codeName="Hoja2"/>
  <dimension ref="A1:L9"/>
  <sheetViews>
    <sheetView workbookViewId="0">
      <selection activeCell="G2" sqref="G2:K2"/>
    </sheetView>
  </sheetViews>
  <sheetFormatPr baseColWidth="10" defaultRowHeight="14.4" x14ac:dyDescent="0.3"/>
  <cols>
    <col min="1" max="1" width="19" bestFit="1" customWidth="1"/>
    <col min="2" max="2" width="10.5546875" style="31" bestFit="1" customWidth="1"/>
    <col min="3" max="3" width="18.21875" bestFit="1" customWidth="1"/>
    <col min="4" max="4" width="19.33203125" bestFit="1" customWidth="1"/>
    <col min="5" max="5" width="23" bestFit="1" customWidth="1"/>
    <col min="6" max="6" width="25.33203125" bestFit="1" customWidth="1"/>
    <col min="7" max="11" width="14.88671875" bestFit="1" customWidth="1"/>
  </cols>
  <sheetData>
    <row r="1" spans="1:12" ht="15" customHeight="1" x14ac:dyDescent="0.3">
      <c r="A1" s="24" t="s">
        <v>28</v>
      </c>
      <c r="B1" s="30" t="s">
        <v>29</v>
      </c>
      <c r="C1" s="24" t="s">
        <v>0</v>
      </c>
      <c r="D1" s="24" t="s">
        <v>1</v>
      </c>
      <c r="E1" s="24" t="s">
        <v>2</v>
      </c>
      <c r="F1" s="24" t="s">
        <v>3</v>
      </c>
      <c r="G1" s="24" t="s">
        <v>31</v>
      </c>
      <c r="H1" s="24" t="s">
        <v>32</v>
      </c>
      <c r="I1" s="24" t="s">
        <v>33</v>
      </c>
      <c r="J1" s="24" t="s">
        <v>34</v>
      </c>
      <c r="K1" s="24" t="s">
        <v>35</v>
      </c>
      <c r="L1" s="24" t="s">
        <v>48</v>
      </c>
    </row>
    <row r="2" spans="1:12" ht="15" customHeight="1" x14ac:dyDescent="0.3">
      <c r="A2" t="s">
        <v>51</v>
      </c>
      <c r="B2">
        <v>44326</v>
      </c>
      <c r="C2" t="s">
        <v>6</v>
      </c>
      <c r="D2" t="s">
        <v>20</v>
      </c>
      <c r="E2" t="s">
        <v>24</v>
      </c>
      <c r="F2" t="s">
        <v>47</v>
      </c>
      <c r="G2">
        <v>2</v>
      </c>
      <c r="H2">
        <v>2</v>
      </c>
      <c r="I2">
        <v>2</v>
      </c>
      <c r="J2">
        <v>2</v>
      </c>
      <c r="K2">
        <v>2</v>
      </c>
      <c r="L2">
        <f>VALUE(MID(Tabla1[[#This Row],[N° Actualización]],3,LEN(Tabla1[[#This Row],[N° Actualización]])-2))</f>
        <v>3</v>
      </c>
    </row>
    <row r="3" spans="1:12" ht="15" customHeight="1" x14ac:dyDescent="0.3">
      <c r="A3" t="s">
        <v>50</v>
      </c>
      <c r="B3">
        <v>44326</v>
      </c>
      <c r="C3" t="s">
        <v>6</v>
      </c>
      <c r="D3" t="s">
        <v>20</v>
      </c>
      <c r="E3" t="s">
        <v>24</v>
      </c>
      <c r="F3" t="s">
        <v>47</v>
      </c>
      <c r="G3">
        <v>1</v>
      </c>
      <c r="H3">
        <v>1</v>
      </c>
      <c r="I3">
        <v>1</v>
      </c>
      <c r="J3">
        <v>1</v>
      </c>
      <c r="K3">
        <v>1</v>
      </c>
      <c r="L3">
        <f>VALUE(MID(Tabla1[[#This Row],[N° Actualización]],3,LEN(Tabla1[[#This Row],[N° Actualización]])-2))</f>
        <v>2</v>
      </c>
    </row>
    <row r="4" spans="1:12" ht="15" customHeight="1" x14ac:dyDescent="0.3">
      <c r="A4" t="s">
        <v>30</v>
      </c>
      <c r="B4">
        <v>44326</v>
      </c>
      <c r="C4" t="s">
        <v>6</v>
      </c>
      <c r="D4" t="s">
        <v>20</v>
      </c>
      <c r="E4" t="s">
        <v>24</v>
      </c>
      <c r="F4" t="s">
        <v>47</v>
      </c>
      <c r="G4" t="s">
        <v>42</v>
      </c>
      <c r="H4" t="s">
        <v>43</v>
      </c>
      <c r="I4" t="s">
        <v>44</v>
      </c>
      <c r="J4" t="s">
        <v>45</v>
      </c>
      <c r="K4" t="s">
        <v>46</v>
      </c>
      <c r="L4">
        <f>VALUE(MID(Tabla1[[#This Row],[N° Actualización]],3,LEN(Tabla1[[#This Row],[N° Actualización]])-2))</f>
        <v>1</v>
      </c>
    </row>
    <row r="5" spans="1:12" ht="15" customHeight="1" x14ac:dyDescent="0.3">
      <c r="A5" t="s">
        <v>30</v>
      </c>
      <c r="B5">
        <v>44326</v>
      </c>
      <c r="C5" t="s">
        <v>6</v>
      </c>
      <c r="D5" t="s">
        <v>20</v>
      </c>
      <c r="E5" t="s">
        <v>24</v>
      </c>
      <c r="F5" t="s">
        <v>47</v>
      </c>
      <c r="G5" t="s">
        <v>42</v>
      </c>
      <c r="H5" t="s">
        <v>43</v>
      </c>
      <c r="I5" t="s">
        <v>44</v>
      </c>
      <c r="J5" t="s">
        <v>45</v>
      </c>
      <c r="K5" t="s">
        <v>46</v>
      </c>
      <c r="L5">
        <f>VALUE(MID(Tabla1[[#This Row],[N° Actualización]],3,LEN(Tabla1[[#This Row],[N° Actualización]])-2))</f>
        <v>1</v>
      </c>
    </row>
    <row r="6" spans="1:12" ht="15" customHeight="1" x14ac:dyDescent="0.3">
      <c r="A6" t="s">
        <v>30</v>
      </c>
      <c r="B6" s="31">
        <v>44326</v>
      </c>
      <c r="C6" t="s">
        <v>8</v>
      </c>
      <c r="D6" t="e">
        <v>#N/A</v>
      </c>
      <c r="E6" t="s">
        <v>24</v>
      </c>
      <c r="F6" t="s">
        <v>41</v>
      </c>
      <c r="G6">
        <v>0</v>
      </c>
      <c r="H6">
        <v>0</v>
      </c>
      <c r="I6">
        <v>0</v>
      </c>
      <c r="J6">
        <v>0</v>
      </c>
      <c r="K6">
        <v>0</v>
      </c>
      <c r="L6">
        <f>VALUE(MID(Tabla1[[#This Row],[N° Actualización]],3,LEN(Tabla1[[#This Row],[N° Actualización]])-2))</f>
        <v>1</v>
      </c>
    </row>
    <row r="7" spans="1:12" ht="15" customHeight="1" x14ac:dyDescent="0.3">
      <c r="A7" t="s">
        <v>30</v>
      </c>
      <c r="B7" s="31">
        <v>44326</v>
      </c>
      <c r="C7" t="s">
        <v>8</v>
      </c>
      <c r="D7" t="e">
        <v>#N/A</v>
      </c>
      <c r="E7" t="s">
        <v>24</v>
      </c>
      <c r="F7" t="s">
        <v>41</v>
      </c>
      <c r="G7">
        <v>0</v>
      </c>
      <c r="H7">
        <v>0</v>
      </c>
      <c r="I7">
        <v>0</v>
      </c>
      <c r="J7">
        <v>0</v>
      </c>
      <c r="K7">
        <v>0</v>
      </c>
      <c r="L7">
        <f>VALUE(MID(Tabla1[[#This Row],[N° Actualización]],3,LEN(Tabla1[[#This Row],[N° Actualización]])-2))</f>
        <v>1</v>
      </c>
    </row>
    <row r="8" spans="1:12" x14ac:dyDescent="0.3">
      <c r="A8" t="s">
        <v>38</v>
      </c>
      <c r="B8" s="31">
        <v>44326</v>
      </c>
      <c r="C8" t="s">
        <v>39</v>
      </c>
      <c r="D8" t="s">
        <v>39</v>
      </c>
      <c r="E8" t="s">
        <v>39</v>
      </c>
      <c r="F8" t="s">
        <v>39</v>
      </c>
      <c r="L8">
        <f>VALUE(MID(Tabla1[[#This Row],[N° Actualización]],3,LEN(Tabla1[[#This Row],[N° Actualización]])-2))</f>
        <v>0</v>
      </c>
    </row>
    <row r="9" spans="1:12" x14ac:dyDescent="0.3">
      <c r="B9" s="31" t="s">
        <v>40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</dc:creator>
  <cp:lastModifiedBy>PERSONAL</cp:lastModifiedBy>
  <dcterms:created xsi:type="dcterms:W3CDTF">2021-05-10T12:10:24Z</dcterms:created>
  <dcterms:modified xsi:type="dcterms:W3CDTF">2021-05-10T13:06:41Z</dcterms:modified>
</cp:coreProperties>
</file>